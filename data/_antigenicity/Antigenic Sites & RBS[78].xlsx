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. Epit. H1N1" sheetId="1" r:id="rId4"/>
    <sheet state="visible" name="Anti. Epit. H3N2" sheetId="2" r:id="rId5"/>
    <sheet state="visible" name="Burke_ann" sheetId="3" r:id="rId6"/>
    <sheet state="visible" name="RBS" sheetId="4" r:id="rId7"/>
  </sheets>
  <definedNames/>
  <calcPr/>
  <extLst>
    <ext uri="GoogleSheetsCustomDataVersion2">
      <go:sheetsCustomData xmlns:go="http://customooxmlschemas.google.com/" r:id="rId8" roundtripDataChecksum="lhLa7AGv1m1SjovijwMX8PcYx+x+cw5+O9UMdXcq1h8="/>
    </ext>
  </extLst>
</workbook>
</file>

<file path=xl/sharedStrings.xml><?xml version="1.0" encoding="utf-8"?>
<sst xmlns="http://schemas.openxmlformats.org/spreadsheetml/2006/main" count="222" uniqueCount="76">
  <si>
    <t>H1N1 Antigenic epitope - Xu, Wilson, Science, 2010</t>
  </si>
  <si>
    <t>Xu R, et al., Science 328:357-360, 2010</t>
  </si>
  <si>
    <t>ANTIGENIC SITES H3 HA (AS SHOWN IN FIELDS)</t>
  </si>
  <si>
    <t>A</t>
  </si>
  <si>
    <t>B</t>
  </si>
  <si>
    <t>C</t>
  </si>
  <si>
    <t>D</t>
  </si>
  <si>
    <t>E</t>
  </si>
  <si>
    <t>T</t>
  </si>
  <si>
    <t>Q</t>
  </si>
  <si>
    <t>N</t>
  </si>
  <si>
    <t>R</t>
  </si>
  <si>
    <t>G</t>
  </si>
  <si>
    <t>S</t>
  </si>
  <si>
    <t>V</t>
  </si>
  <si>
    <t>L</t>
  </si>
  <si>
    <t>Mutations G135T and N137S are located in antigenic site A, whereas W222R, G225N, and L226I are in antigenic site D</t>
  </si>
  <si>
    <t>P</t>
  </si>
  <si>
    <t>I</t>
  </si>
  <si>
    <t>K</t>
  </si>
  <si>
    <t>Here the base of the RBS is defined as residues 135, 137, 145, 222, 225, and 226</t>
  </si>
  <si>
    <t>H</t>
  </si>
  <si>
    <t>F</t>
  </si>
  <si>
    <t>M</t>
  </si>
  <si>
    <t>Y</t>
  </si>
  <si>
    <t>Mutation</t>
  </si>
  <si>
    <t>H 1 pdm</t>
  </si>
  <si>
    <t>H 3</t>
  </si>
  <si>
    <t>H 5</t>
  </si>
  <si>
    <t>H 7</t>
  </si>
  <si>
    <t>H9</t>
  </si>
  <si>
    <t>Phenotype</t>
  </si>
  <si>
    <t>Tyr_His</t>
  </si>
  <si>
    <t>Increase in fusion pH</t>
  </si>
  <si>
    <t>His_Gln</t>
  </si>
  <si>
    <t>Decrease in fusion pH; increased stability</t>
  </si>
  <si>
    <t>Asn_Any</t>
  </si>
  <si>
    <t>Loss of N-glycosylation; increased virulence</t>
  </si>
  <si>
    <t>Glu_Lys</t>
  </si>
  <si>
    <t>Increased virus binding to 02-6 glycans</t>
  </si>
  <si>
    <t>His_Tyr</t>
  </si>
  <si>
    <t>Increased stability</t>
  </si>
  <si>
    <t>Ser_Asn</t>
  </si>
  <si>
    <t>Ser_pro</t>
  </si>
  <si>
    <t>Ala_Deletion</t>
  </si>
  <si>
    <t>Del</t>
  </si>
  <si>
    <t>Ser_Ala</t>
  </si>
  <si>
    <t>Ala_Val</t>
  </si>
  <si>
    <t>Increased infectivity in SIAT Cells</t>
  </si>
  <si>
    <t>Gly_Arg</t>
  </si>
  <si>
    <t>Ile_Thr</t>
  </si>
  <si>
    <t>Increased virus binding to 0.2-6 glycans</t>
  </si>
  <si>
    <t>Asn_Asp</t>
  </si>
  <si>
    <t>Loss of N-glycosylation; increased binding and transmission</t>
  </si>
  <si>
    <t>Thr_Ala</t>
  </si>
  <si>
    <t>Asn_Lys</t>
  </si>
  <si>
    <t>Asp_Gly</t>
  </si>
  <si>
    <t>Glu_Gly</t>
  </si>
  <si>
    <t>Thr_Ile</t>
  </si>
  <si>
    <t>Lys_Arg</t>
  </si>
  <si>
    <t>GIn_Arg/His</t>
  </si>
  <si>
    <t>Val_Ile</t>
  </si>
  <si>
    <t>Gln_Leu</t>
  </si>
  <si>
    <t>Gly_Ser</t>
  </si>
  <si>
    <t>Pro_Ser</t>
  </si>
  <si>
    <t>The_Ile</t>
  </si>
  <si>
    <t>Insertion of Arg or Lys</t>
  </si>
  <si>
    <t>Poly-basic cleavage; increased pathogenicity</t>
  </si>
  <si>
    <t>Lys_Ile</t>
  </si>
  <si>
    <t>Increase in fusion pH; increased stability</t>
  </si>
  <si>
    <t>Increase in fusion pH; decreased stability</t>
  </si>
  <si>
    <t>Arg_Lys</t>
  </si>
  <si>
    <t>RBS (Numbering: Mature H3)</t>
  </si>
  <si>
    <t>Tyrosine</t>
  </si>
  <si>
    <t>Tryptophan</t>
  </si>
  <si>
    <t>Hisidine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</si>
</sst>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/>
    <font>
      <sz val="11.0"/>
      <color rgb="FF00B050"/>
      <name val="Calibri"/>
    </font>
    <font>
      <sz val="11.0"/>
      <color rgb="FF00B0F0"/>
      <name val="Calibri"/>
    </font>
    <font>
      <sz val="11.0"/>
      <color rgb="FFFFFF00"/>
      <name val="Calibri"/>
    </font>
    <font>
      <sz val="11.0"/>
      <color rgb="FF7030A0"/>
      <name val="Calibri"/>
    </font>
    <font>
      <color theme="1"/>
      <name val="Arial"/>
    </font>
    <font>
      <sz val="12.0"/>
      <color rgb="FF000000"/>
      <name val="Calibri"/>
    </font>
    <font>
      <b/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FFF99"/>
        <bgColor rgb="FFFFFF99"/>
      </patternFill>
    </fill>
    <fill>
      <patternFill patternType="solid">
        <fgColor rgb="FFCCC0D9"/>
        <bgColor rgb="FFCCC0D9"/>
      </patternFill>
    </fill>
  </fills>
  <borders count="13">
    <border/>
    <border>
      <left/>
      <top/>
      <bottom/>
    </border>
    <border>
      <right/>
      <top/>
      <bottom/>
    </border>
    <border>
      <left/>
      <top/>
    </border>
    <border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bottom/>
    </border>
    <border>
      <left/>
      <right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2" fontId="5" numFmtId="0" xfId="0" applyAlignment="1" applyBorder="1" applyFont="1">
      <alignment horizontal="center"/>
    </xf>
    <xf borderId="4" fillId="0" fontId="4" numFmtId="0" xfId="0" applyBorder="1" applyFont="1"/>
    <xf borderId="3" fillId="2" fontId="6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6" fillId="4" fontId="2" numFmtId="0" xfId="0" applyAlignment="1" applyBorder="1" applyFill="1" applyFont="1">
      <alignment horizontal="center"/>
    </xf>
    <xf borderId="7" fillId="4" fontId="2" numFmtId="0" xfId="0" applyAlignment="1" applyBorder="1" applyFont="1">
      <alignment horizontal="center"/>
    </xf>
    <xf borderId="6" fillId="5" fontId="2" numFmtId="0" xfId="0" applyAlignment="1" applyBorder="1" applyFill="1" applyFont="1">
      <alignment horizontal="center"/>
    </xf>
    <xf borderId="2" fillId="5" fontId="2" numFmtId="0" xfId="0" applyAlignment="1" applyBorder="1" applyFont="1">
      <alignment horizontal="center"/>
    </xf>
    <xf borderId="8" fillId="6" fontId="2" numFmtId="0" xfId="0" applyAlignment="1" applyBorder="1" applyFill="1" applyFont="1">
      <alignment horizontal="center"/>
    </xf>
    <xf borderId="5" fillId="6" fontId="2" numFmtId="0" xfId="0" applyAlignment="1" applyBorder="1" applyFont="1">
      <alignment horizontal="center"/>
    </xf>
    <xf borderId="5" fillId="7" fontId="2" numFmtId="0" xfId="0" applyAlignment="1" applyBorder="1" applyFill="1" applyFont="1">
      <alignment horizontal="center"/>
    </xf>
    <xf borderId="0" fillId="0" fontId="9" numFmtId="0" xfId="0" applyAlignment="1" applyFont="1">
      <alignment horizontal="right" vertical="bottom"/>
    </xf>
    <xf borderId="9" fillId="4" fontId="2" numFmtId="0" xfId="0" applyAlignment="1" applyBorder="1" applyFont="1">
      <alignment horizontal="center"/>
    </xf>
    <xf borderId="10" fillId="5" fontId="2" numFmtId="0" xfId="0" applyAlignment="1" applyBorder="1" applyFont="1">
      <alignment horizontal="center"/>
    </xf>
    <xf borderId="7" fillId="5" fontId="2" numFmtId="0" xfId="0" applyAlignment="1" applyBorder="1" applyFont="1">
      <alignment horizontal="center"/>
    </xf>
    <xf borderId="6" fillId="6" fontId="2" numFmtId="0" xfId="0" applyAlignment="1" applyBorder="1" applyFont="1">
      <alignment horizontal="center"/>
    </xf>
    <xf borderId="2" fillId="6" fontId="2" numFmtId="0" xfId="0" applyAlignment="1" applyBorder="1" applyFont="1">
      <alignment horizontal="center"/>
    </xf>
    <xf borderId="8" fillId="7" fontId="2" numFmtId="0" xfId="0" applyAlignment="1" applyBorder="1" applyFont="1">
      <alignment horizont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8" fillId="3" fontId="2" numFmtId="0" xfId="0" applyAlignment="1" applyBorder="1" applyFont="1">
      <alignment horizontal="center"/>
    </xf>
    <xf borderId="9" fillId="6" fontId="2" numFmtId="0" xfId="0" applyAlignment="1" applyBorder="1" applyFont="1">
      <alignment horizontal="center"/>
    </xf>
    <xf borderId="7" fillId="6" fontId="2" numFmtId="0" xfId="0" applyAlignment="1" applyBorder="1" applyFont="1">
      <alignment horizontal="center"/>
    </xf>
    <xf borderId="6" fillId="7" fontId="2" numFmtId="0" xfId="0" applyAlignment="1" applyBorder="1" applyFont="1">
      <alignment horizontal="center"/>
    </xf>
    <xf borderId="2" fillId="7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7" fillId="3" fontId="2" numFmtId="0" xfId="0" applyAlignment="1" applyBorder="1" applyFont="1">
      <alignment horizontal="center"/>
    </xf>
    <xf borderId="10" fillId="4" fontId="2" numFmtId="0" xfId="0" applyAlignment="1" applyBorder="1" applyFont="1">
      <alignment horizontal="center"/>
    </xf>
    <xf borderId="11" fillId="6" fontId="2" numFmtId="0" xfId="0" applyAlignment="1" applyBorder="1" applyFont="1">
      <alignment horizontal="center"/>
    </xf>
    <xf borderId="1" fillId="6" fontId="2" numFmtId="0" xfId="0" applyAlignment="1" applyBorder="1" applyFont="1">
      <alignment horizontal="center"/>
    </xf>
    <xf borderId="9" fillId="7" fontId="2" numFmtId="0" xfId="0" applyAlignment="1" applyBorder="1" applyFont="1">
      <alignment horizontal="center"/>
    </xf>
    <xf borderId="10" fillId="3" fontId="2" numFmtId="0" xfId="0" applyAlignment="1" applyBorder="1" applyFont="1">
      <alignment horizontal="center"/>
    </xf>
    <xf borderId="9" fillId="5" fontId="2" numFmtId="0" xfId="0" applyAlignment="1" applyBorder="1" applyFont="1">
      <alignment horizontal="center"/>
    </xf>
    <xf borderId="11" fillId="7" fontId="2" numFmtId="0" xfId="0" applyAlignment="1" applyBorder="1" applyFont="1">
      <alignment horizontal="center"/>
    </xf>
    <xf borderId="9" fillId="3" fontId="2" numFmtId="0" xfId="0" applyAlignment="1" applyBorder="1" applyFont="1">
      <alignment horizontal="center"/>
    </xf>
    <xf borderId="12" fillId="3" fontId="2" numFmtId="0" xfId="0" applyAlignment="1" applyBorder="1" applyFont="1">
      <alignment horizontal="center"/>
    </xf>
    <xf borderId="10" fillId="6" fontId="2" numFmtId="0" xfId="0" applyAlignment="1" applyBorder="1" applyFont="1">
      <alignment horizontal="center"/>
    </xf>
    <xf borderId="10" fillId="7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12" fillId="5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11" fillId="5" fontId="2" numFmtId="0" xfId="0" applyAlignment="1" applyBorder="1" applyFont="1">
      <alignment horizontal="center"/>
    </xf>
    <xf borderId="5" fillId="5" fontId="2" numFmtId="0" xfId="0" applyAlignment="1" applyBorder="1" applyFont="1">
      <alignment horizontal="center"/>
    </xf>
    <xf borderId="11" fillId="3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/>
    </xf>
    <xf borderId="12" fillId="7" fontId="2" numFmtId="0" xfId="0" applyAlignment="1" applyBorder="1" applyFont="1">
      <alignment horizontal="center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9734550" cy="5867400"/>
    <xdr:pic>
      <xdr:nvPicPr>
        <xdr:cNvPr descr="Captur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B33" s="1" t="s">
        <v>0</v>
      </c>
    </row>
    <row r="34" ht="15.75" customHeight="1">
      <c r="B34" s="1" t="s">
        <v>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6.29"/>
    <col customWidth="1" min="11" max="11" width="9.14"/>
    <col customWidth="1" min="12" max="26" width="8.86"/>
  </cols>
  <sheetData>
    <row r="1">
      <c r="A1" s="2" t="s">
        <v>2</v>
      </c>
      <c r="K1" s="2"/>
      <c r="L1" s="2"/>
    </row>
    <row r="2">
      <c r="A2" s="3" t="s">
        <v>3</v>
      </c>
      <c r="B2" s="4"/>
      <c r="C2" s="5" t="s">
        <v>4</v>
      </c>
      <c r="D2" s="6"/>
      <c r="E2" s="7" t="s">
        <v>5</v>
      </c>
      <c r="F2" s="6"/>
      <c r="G2" s="8" t="s">
        <v>6</v>
      </c>
      <c r="H2" s="4"/>
      <c r="I2" s="9" t="s">
        <v>7</v>
      </c>
      <c r="J2" s="4"/>
      <c r="K2" s="2"/>
      <c r="L2" s="2"/>
    </row>
    <row r="3">
      <c r="A3" s="10">
        <v>122.0</v>
      </c>
      <c r="B3" s="11" t="s">
        <v>8</v>
      </c>
      <c r="C3" s="12">
        <v>128.0</v>
      </c>
      <c r="D3" s="13" t="s">
        <v>8</v>
      </c>
      <c r="E3" s="14">
        <v>44.0</v>
      </c>
      <c r="F3" s="15" t="s">
        <v>9</v>
      </c>
      <c r="G3" s="16">
        <v>96.0</v>
      </c>
      <c r="H3" s="17" t="s">
        <v>10</v>
      </c>
      <c r="I3" s="18">
        <v>57.0</v>
      </c>
      <c r="J3" s="18" t="s">
        <v>11</v>
      </c>
      <c r="K3" s="2"/>
      <c r="L3" s="2"/>
      <c r="M3" s="19"/>
    </row>
    <row r="4">
      <c r="A4" s="10">
        <v>124.0</v>
      </c>
      <c r="B4" s="11" t="s">
        <v>12</v>
      </c>
      <c r="C4" s="20">
        <v>129.0</v>
      </c>
      <c r="D4" s="13" t="s">
        <v>12</v>
      </c>
      <c r="E4" s="21">
        <v>45.0</v>
      </c>
      <c r="F4" s="22" t="s">
        <v>13</v>
      </c>
      <c r="G4" s="23">
        <v>102.0</v>
      </c>
      <c r="H4" s="24" t="s">
        <v>14</v>
      </c>
      <c r="I4" s="25">
        <v>59.0</v>
      </c>
      <c r="J4" s="18" t="s">
        <v>15</v>
      </c>
      <c r="K4" s="2"/>
      <c r="L4" s="2"/>
      <c r="M4" s="19"/>
      <c r="O4" s="26"/>
      <c r="P4" s="27" t="s">
        <v>16</v>
      </c>
    </row>
    <row r="5">
      <c r="A5" s="28">
        <v>126.0</v>
      </c>
      <c r="B5" s="11" t="s">
        <v>8</v>
      </c>
      <c r="C5" s="12">
        <v>155.0</v>
      </c>
      <c r="D5" s="13" t="s">
        <v>8</v>
      </c>
      <c r="E5" s="21">
        <v>46.0</v>
      </c>
      <c r="F5" s="22" t="s">
        <v>13</v>
      </c>
      <c r="G5" s="29">
        <v>103.0</v>
      </c>
      <c r="H5" s="30" t="s">
        <v>17</v>
      </c>
      <c r="I5" s="31">
        <v>62.0</v>
      </c>
      <c r="J5" s="32" t="s">
        <v>18</v>
      </c>
      <c r="K5" s="2"/>
      <c r="L5" s="2"/>
      <c r="M5" s="19"/>
      <c r="O5" s="26"/>
      <c r="P5" s="26"/>
    </row>
    <row r="6">
      <c r="A6" s="33">
        <v>130.0</v>
      </c>
      <c r="B6" s="34" t="s">
        <v>14</v>
      </c>
      <c r="C6" s="35">
        <v>156.0</v>
      </c>
      <c r="D6" s="13" t="s">
        <v>19</v>
      </c>
      <c r="E6" s="21">
        <v>47.0</v>
      </c>
      <c r="F6" s="15" t="s">
        <v>13</v>
      </c>
      <c r="G6" s="36">
        <v>117.0</v>
      </c>
      <c r="H6" s="37" t="s">
        <v>8</v>
      </c>
      <c r="I6" s="38">
        <v>63.0</v>
      </c>
      <c r="J6" s="32" t="s">
        <v>6</v>
      </c>
      <c r="K6" s="2"/>
      <c r="L6" s="2"/>
      <c r="M6" s="19"/>
      <c r="O6" s="26"/>
      <c r="P6" s="27" t="s">
        <v>20</v>
      </c>
    </row>
    <row r="7">
      <c r="A7" s="39">
        <v>131.0</v>
      </c>
      <c r="B7" s="34" t="s">
        <v>8</v>
      </c>
      <c r="C7" s="35">
        <v>157.0</v>
      </c>
      <c r="D7" s="13" t="s">
        <v>13</v>
      </c>
      <c r="E7" s="40">
        <v>48.0</v>
      </c>
      <c r="F7" s="15" t="s">
        <v>8</v>
      </c>
      <c r="G7" s="17">
        <v>121.0</v>
      </c>
      <c r="H7" s="17" t="s">
        <v>18</v>
      </c>
      <c r="I7" s="41">
        <v>67.0</v>
      </c>
      <c r="J7" s="18" t="s">
        <v>18</v>
      </c>
      <c r="K7" s="2"/>
      <c r="L7" s="2"/>
      <c r="M7" s="19"/>
      <c r="O7" s="26"/>
      <c r="P7" s="26"/>
    </row>
    <row r="8">
      <c r="A8" s="39">
        <v>132.0</v>
      </c>
      <c r="B8" s="34" t="s">
        <v>9</v>
      </c>
      <c r="C8" s="35">
        <v>158.0</v>
      </c>
      <c r="D8" s="13" t="s">
        <v>12</v>
      </c>
      <c r="E8" s="14">
        <v>50.0</v>
      </c>
      <c r="F8" s="15" t="s">
        <v>19</v>
      </c>
      <c r="G8" s="16">
        <v>167.0</v>
      </c>
      <c r="H8" s="17" t="s">
        <v>8</v>
      </c>
      <c r="I8" s="18">
        <v>75.0</v>
      </c>
      <c r="J8" s="18" t="s">
        <v>21</v>
      </c>
      <c r="K8" s="2"/>
      <c r="L8" s="2"/>
      <c r="M8" s="19"/>
      <c r="O8" s="26"/>
      <c r="P8" s="26"/>
    </row>
    <row r="9">
      <c r="A9" s="42">
        <v>133.0</v>
      </c>
      <c r="B9" s="34" t="s">
        <v>10</v>
      </c>
      <c r="C9" s="35">
        <v>159.0</v>
      </c>
      <c r="D9" s="13" t="s">
        <v>13</v>
      </c>
      <c r="E9" s="40">
        <v>51.0</v>
      </c>
      <c r="F9" s="22" t="s">
        <v>18</v>
      </c>
      <c r="G9" s="23">
        <v>170.0</v>
      </c>
      <c r="H9" s="24" t="s">
        <v>10</v>
      </c>
      <c r="I9" s="25">
        <v>78.0</v>
      </c>
      <c r="J9" s="18" t="s">
        <v>14</v>
      </c>
      <c r="K9" s="2"/>
      <c r="L9" s="2"/>
      <c r="M9" s="19"/>
      <c r="O9" s="26"/>
      <c r="P9" s="26"/>
    </row>
    <row r="10">
      <c r="A10" s="43">
        <v>135.0</v>
      </c>
      <c r="B10" s="11" t="s">
        <v>11</v>
      </c>
      <c r="C10" s="20">
        <v>160.0</v>
      </c>
      <c r="D10" s="13" t="s">
        <v>8</v>
      </c>
      <c r="E10" s="14">
        <v>53.0</v>
      </c>
      <c r="F10" s="22" t="s">
        <v>10</v>
      </c>
      <c r="G10" s="44">
        <v>171.0</v>
      </c>
      <c r="H10" s="30" t="s">
        <v>10</v>
      </c>
      <c r="I10" s="31">
        <v>80.0</v>
      </c>
      <c r="J10" s="32" t="s">
        <v>9</v>
      </c>
      <c r="K10" s="2"/>
      <c r="L10" s="2"/>
      <c r="M10" s="19"/>
      <c r="O10" s="26"/>
      <c r="P10" s="26"/>
    </row>
    <row r="11">
      <c r="A11" s="33">
        <v>137.0</v>
      </c>
      <c r="B11" s="34" t="s">
        <v>10</v>
      </c>
      <c r="C11" s="12">
        <v>163.0</v>
      </c>
      <c r="D11" s="13" t="s">
        <v>14</v>
      </c>
      <c r="E11" s="40">
        <v>54.0</v>
      </c>
      <c r="F11" s="22" t="s">
        <v>10</v>
      </c>
      <c r="G11" s="44">
        <v>172.0</v>
      </c>
      <c r="H11" s="30" t="s">
        <v>6</v>
      </c>
      <c r="I11" s="45">
        <v>81.0</v>
      </c>
      <c r="J11" s="32" t="s">
        <v>10</v>
      </c>
      <c r="K11" s="2"/>
      <c r="L11" s="2"/>
      <c r="M11" s="19"/>
      <c r="O11" s="26"/>
      <c r="P11" s="26"/>
    </row>
    <row r="12">
      <c r="A12" s="42">
        <v>138.0</v>
      </c>
      <c r="B12" s="34" t="s">
        <v>3</v>
      </c>
      <c r="C12" s="35">
        <v>164.0</v>
      </c>
      <c r="D12" s="46" t="s">
        <v>15</v>
      </c>
      <c r="E12" s="47">
        <v>273.0</v>
      </c>
      <c r="F12" s="48" t="s">
        <v>17</v>
      </c>
      <c r="G12" s="44">
        <v>173.0</v>
      </c>
      <c r="H12" s="30" t="s">
        <v>10</v>
      </c>
      <c r="I12" s="45">
        <v>82.0</v>
      </c>
      <c r="J12" s="32" t="s">
        <v>7</v>
      </c>
      <c r="K12" s="2"/>
      <c r="L12" s="2"/>
      <c r="M12" s="19"/>
      <c r="O12" s="26"/>
      <c r="P12" s="26"/>
    </row>
    <row r="13">
      <c r="A13" s="43">
        <v>140.0</v>
      </c>
      <c r="B13" s="11" t="s">
        <v>19</v>
      </c>
      <c r="C13" s="20">
        <v>165.0</v>
      </c>
      <c r="D13" s="13" t="s">
        <v>10</v>
      </c>
      <c r="E13" s="14">
        <v>275.0</v>
      </c>
      <c r="F13" s="22" t="s">
        <v>6</v>
      </c>
      <c r="G13" s="44">
        <v>174.0</v>
      </c>
      <c r="H13" s="30" t="s">
        <v>22</v>
      </c>
      <c r="I13" s="38">
        <v>83.0</v>
      </c>
      <c r="J13" s="32" t="s">
        <v>8</v>
      </c>
      <c r="K13" s="2"/>
      <c r="L13" s="2"/>
      <c r="M13" s="19"/>
      <c r="O13" s="26"/>
      <c r="P13" s="26"/>
    </row>
    <row r="14">
      <c r="A14" s="33">
        <v>142.0</v>
      </c>
      <c r="B14" s="34" t="s">
        <v>12</v>
      </c>
      <c r="C14" s="12">
        <v>186.0</v>
      </c>
      <c r="D14" s="13" t="s">
        <v>13</v>
      </c>
      <c r="E14" s="40">
        <v>276.0</v>
      </c>
      <c r="F14" s="22" t="s">
        <v>8</v>
      </c>
      <c r="G14" s="44">
        <v>175.0</v>
      </c>
      <c r="H14" s="30" t="s">
        <v>6</v>
      </c>
      <c r="I14" s="31">
        <v>86.0</v>
      </c>
      <c r="J14" s="32" t="s">
        <v>15</v>
      </c>
      <c r="K14" s="2"/>
      <c r="L14" s="2"/>
      <c r="M14" s="19"/>
      <c r="O14" s="26"/>
      <c r="P14" s="26"/>
    </row>
    <row r="15">
      <c r="A15" s="39">
        <v>143.0</v>
      </c>
      <c r="B15" s="34" t="s">
        <v>17</v>
      </c>
      <c r="C15" s="35">
        <v>187.0</v>
      </c>
      <c r="D15" s="13" t="s">
        <v>8</v>
      </c>
      <c r="E15" s="14">
        <v>278.0</v>
      </c>
      <c r="F15" s="22" t="s">
        <v>18</v>
      </c>
      <c r="G15" s="44">
        <v>176.0</v>
      </c>
      <c r="H15" s="30" t="s">
        <v>19</v>
      </c>
      <c r="I15" s="45">
        <v>87.0</v>
      </c>
      <c r="J15" s="32" t="s">
        <v>22</v>
      </c>
      <c r="K15" s="2"/>
      <c r="L15" s="2"/>
      <c r="M15" s="19"/>
      <c r="O15" s="26"/>
      <c r="P15" s="26"/>
    </row>
    <row r="16">
      <c r="A16" s="39">
        <v>144.0</v>
      </c>
      <c r="B16" s="34" t="s">
        <v>12</v>
      </c>
      <c r="C16" s="35">
        <v>188.0</v>
      </c>
      <c r="D16" s="13" t="s">
        <v>10</v>
      </c>
      <c r="E16" s="21">
        <v>279.0</v>
      </c>
      <c r="F16" s="22" t="s">
        <v>13</v>
      </c>
      <c r="G16" s="29">
        <v>177.0</v>
      </c>
      <c r="H16" s="30" t="s">
        <v>15</v>
      </c>
      <c r="I16" s="38">
        <v>88.0</v>
      </c>
      <c r="J16" s="32" t="s">
        <v>14</v>
      </c>
      <c r="K16" s="2"/>
      <c r="L16" s="2"/>
      <c r="M16" s="19"/>
      <c r="O16" s="26"/>
      <c r="P16" s="26"/>
    </row>
    <row r="17">
      <c r="A17" s="39">
        <v>145.0</v>
      </c>
      <c r="B17" s="34" t="s">
        <v>13</v>
      </c>
      <c r="C17" s="35">
        <v>189.0</v>
      </c>
      <c r="D17" s="13" t="s">
        <v>9</v>
      </c>
      <c r="E17" s="40">
        <v>280.0</v>
      </c>
      <c r="F17" s="15" t="s">
        <v>7</v>
      </c>
      <c r="G17" s="36">
        <v>179.0</v>
      </c>
      <c r="H17" s="37" t="s">
        <v>18</v>
      </c>
      <c r="I17" s="31">
        <v>91.0</v>
      </c>
      <c r="J17" s="32" t="s">
        <v>13</v>
      </c>
      <c r="K17" s="2"/>
      <c r="L17" s="2"/>
      <c r="M17" s="19"/>
      <c r="O17" s="26"/>
      <c r="P17" s="26"/>
    </row>
    <row r="18">
      <c r="A18" s="42">
        <v>146.0</v>
      </c>
      <c r="B18" s="34" t="s">
        <v>12</v>
      </c>
      <c r="C18" s="20">
        <v>190.0</v>
      </c>
      <c r="D18" s="46" t="s">
        <v>7</v>
      </c>
      <c r="E18" s="49">
        <v>294.0</v>
      </c>
      <c r="F18" s="50" t="s">
        <v>22</v>
      </c>
      <c r="G18" s="17">
        <v>182.0</v>
      </c>
      <c r="H18" s="37" t="s">
        <v>18</v>
      </c>
      <c r="I18" s="38">
        <v>92.0</v>
      </c>
      <c r="J18" s="32" t="s">
        <v>19</v>
      </c>
      <c r="K18" s="2"/>
      <c r="L18" s="2"/>
      <c r="M18" s="19"/>
      <c r="O18" s="26"/>
      <c r="P18" s="26"/>
    </row>
    <row r="19">
      <c r="A19" s="51">
        <v>150.0</v>
      </c>
      <c r="B19" s="11" t="s">
        <v>11</v>
      </c>
      <c r="C19" s="12">
        <v>192.0</v>
      </c>
      <c r="D19" s="46" t="s">
        <v>8</v>
      </c>
      <c r="E19" s="52">
        <v>297.0</v>
      </c>
      <c r="F19" s="50" t="s">
        <v>14</v>
      </c>
      <c r="G19" s="17">
        <v>201.0</v>
      </c>
      <c r="H19" s="17" t="s">
        <v>11</v>
      </c>
      <c r="I19" s="53">
        <v>109.0</v>
      </c>
      <c r="J19" s="18" t="s">
        <v>11</v>
      </c>
      <c r="K19" s="2"/>
      <c r="L19" s="2"/>
      <c r="M19" s="19"/>
      <c r="O19" s="26"/>
      <c r="P19" s="26"/>
    </row>
    <row r="20">
      <c r="A20" s="10">
        <v>152.0</v>
      </c>
      <c r="B20" s="11" t="s">
        <v>10</v>
      </c>
      <c r="C20" s="35">
        <v>193.0</v>
      </c>
      <c r="D20" s="13" t="s">
        <v>13</v>
      </c>
      <c r="E20" s="14">
        <v>299.0</v>
      </c>
      <c r="F20" s="15" t="s">
        <v>19</v>
      </c>
      <c r="G20" s="16">
        <v>203.0</v>
      </c>
      <c r="H20" s="37" t="s">
        <v>8</v>
      </c>
      <c r="I20" s="31">
        <v>260.0</v>
      </c>
      <c r="J20" s="32" t="s">
        <v>23</v>
      </c>
      <c r="K20" s="2"/>
      <c r="L20" s="2"/>
      <c r="M20" s="19"/>
      <c r="O20" s="26"/>
      <c r="P20" s="26"/>
    </row>
    <row r="21" ht="15.75" customHeight="1">
      <c r="A21" s="10">
        <v>168.0</v>
      </c>
      <c r="B21" s="11" t="s">
        <v>23</v>
      </c>
      <c r="C21" s="20">
        <v>194.0</v>
      </c>
      <c r="D21" s="13" t="s">
        <v>15</v>
      </c>
      <c r="E21" s="40">
        <v>300.0</v>
      </c>
      <c r="F21" s="22" t="s">
        <v>18</v>
      </c>
      <c r="G21" s="23">
        <v>207.0</v>
      </c>
      <c r="H21" s="30" t="s">
        <v>11</v>
      </c>
      <c r="I21" s="45">
        <v>261.0</v>
      </c>
      <c r="J21" s="32" t="s">
        <v>11</v>
      </c>
      <c r="K21" s="2"/>
      <c r="L21" s="2"/>
      <c r="M21" s="19"/>
      <c r="O21" s="26"/>
      <c r="P21" s="26"/>
    </row>
    <row r="22" ht="15.75" customHeight="1">
      <c r="A22" s="2"/>
      <c r="B22" s="2"/>
      <c r="C22" s="12">
        <v>196.0</v>
      </c>
      <c r="D22" s="13" t="s">
        <v>14</v>
      </c>
      <c r="E22" s="14">
        <v>304.0</v>
      </c>
      <c r="F22" s="22" t="s">
        <v>3</v>
      </c>
      <c r="G22" s="44">
        <v>208.0</v>
      </c>
      <c r="H22" s="30" t="s">
        <v>11</v>
      </c>
      <c r="I22" s="38">
        <v>262.0</v>
      </c>
      <c r="J22" s="32" t="s">
        <v>8</v>
      </c>
      <c r="K22" s="2"/>
      <c r="L22" s="2"/>
      <c r="M22" s="19"/>
      <c r="O22" s="26"/>
      <c r="P22" s="26"/>
    </row>
    <row r="23" ht="15.75" customHeight="1">
      <c r="A23" s="2"/>
      <c r="B23" s="2"/>
      <c r="C23" s="35">
        <v>197.0</v>
      </c>
      <c r="D23" s="13" t="s">
        <v>9</v>
      </c>
      <c r="E23" s="40">
        <v>305.0</v>
      </c>
      <c r="F23" s="22" t="s">
        <v>5</v>
      </c>
      <c r="G23" s="29">
        <v>209.0</v>
      </c>
      <c r="H23" s="24" t="s">
        <v>13</v>
      </c>
      <c r="I23" s="41">
        <v>265.0</v>
      </c>
      <c r="J23" s="18" t="s">
        <v>13</v>
      </c>
      <c r="K23" s="2"/>
      <c r="L23" s="2"/>
      <c r="M23" s="19"/>
      <c r="O23" s="26"/>
      <c r="P23" s="26"/>
    </row>
    <row r="24" ht="15.75" customHeight="1">
      <c r="A24" s="2"/>
      <c r="B24" s="2"/>
      <c r="C24" s="20">
        <v>198.0</v>
      </c>
      <c r="D24" s="13" t="s">
        <v>3</v>
      </c>
      <c r="E24" s="14">
        <v>307.0</v>
      </c>
      <c r="F24" s="22" t="s">
        <v>19</v>
      </c>
      <c r="G24" s="23">
        <v>212.0</v>
      </c>
      <c r="H24" s="24" t="s">
        <v>8</v>
      </c>
      <c r="I24" s="2"/>
      <c r="J24" s="2"/>
      <c r="K24" s="2"/>
      <c r="L24" s="2"/>
      <c r="M24" s="19"/>
    </row>
    <row r="25" ht="15.75" customHeight="1">
      <c r="A25" s="2"/>
      <c r="B25" s="2"/>
      <c r="C25" s="2"/>
      <c r="D25" s="2"/>
      <c r="E25" s="21">
        <v>308.0</v>
      </c>
      <c r="F25" s="22" t="s">
        <v>24</v>
      </c>
      <c r="G25" s="44">
        <v>213.0</v>
      </c>
      <c r="H25" s="24" t="s">
        <v>18</v>
      </c>
      <c r="I25" s="2"/>
      <c r="J25" s="2"/>
      <c r="K25" s="2"/>
      <c r="L25" s="2"/>
      <c r="M25" s="19"/>
    </row>
    <row r="26" ht="15.75" customHeight="1">
      <c r="A26" s="2"/>
      <c r="B26" s="2"/>
      <c r="C26" s="2"/>
      <c r="D26" s="2"/>
      <c r="E26" s="21">
        <v>309.0</v>
      </c>
      <c r="F26" s="22" t="s">
        <v>14</v>
      </c>
      <c r="G26" s="44">
        <v>214.0</v>
      </c>
      <c r="H26" s="24" t="s">
        <v>18</v>
      </c>
      <c r="I26" s="2"/>
      <c r="J26" s="2"/>
      <c r="K26" s="2"/>
      <c r="L26" s="2"/>
      <c r="M26" s="19"/>
    </row>
    <row r="27" ht="15.75" customHeight="1">
      <c r="A27" s="2"/>
      <c r="B27" s="2"/>
      <c r="C27" s="2"/>
      <c r="D27" s="2"/>
      <c r="E27" s="21">
        <v>310.0</v>
      </c>
      <c r="F27" s="22" t="s">
        <v>19</v>
      </c>
      <c r="G27" s="44">
        <v>215.0</v>
      </c>
      <c r="H27" s="24" t="s">
        <v>17</v>
      </c>
      <c r="I27" s="2"/>
      <c r="J27" s="2"/>
      <c r="K27" s="2"/>
      <c r="L27" s="2"/>
      <c r="M27" s="19"/>
    </row>
    <row r="28" ht="15.75" customHeight="1">
      <c r="A28" s="2"/>
      <c r="B28" s="2"/>
      <c r="C28" s="2"/>
      <c r="D28" s="2"/>
      <c r="E28" s="21">
        <v>311.0</v>
      </c>
      <c r="F28" s="22" t="s">
        <v>9</v>
      </c>
      <c r="G28" s="44">
        <v>216.0</v>
      </c>
      <c r="H28" s="24" t="s">
        <v>10</v>
      </c>
      <c r="I28" s="2"/>
      <c r="J28" s="2"/>
      <c r="K28" s="2"/>
      <c r="L28" s="2"/>
      <c r="M28" s="19"/>
    </row>
    <row r="29" ht="15.75" customHeight="1">
      <c r="A29" s="2"/>
      <c r="B29" s="2"/>
      <c r="C29" s="2"/>
      <c r="D29" s="2"/>
      <c r="E29" s="40">
        <v>312.0</v>
      </c>
      <c r="F29" s="22" t="s">
        <v>10</v>
      </c>
      <c r="G29" s="44">
        <v>217.0</v>
      </c>
      <c r="H29" s="24" t="s">
        <v>18</v>
      </c>
      <c r="I29" s="2"/>
      <c r="J29" s="2"/>
      <c r="K29" s="2"/>
      <c r="L29" s="2"/>
      <c r="M29" s="19"/>
    </row>
    <row r="30" ht="15.75" customHeight="1">
      <c r="A30" s="2"/>
      <c r="B30" s="2"/>
      <c r="C30" s="2"/>
      <c r="D30" s="2"/>
      <c r="E30" s="2"/>
      <c r="F30" s="2"/>
      <c r="G30" s="44">
        <v>218.0</v>
      </c>
      <c r="H30" s="24" t="s">
        <v>12</v>
      </c>
      <c r="I30" s="2"/>
      <c r="J30" s="2"/>
      <c r="K30" s="2"/>
      <c r="L30" s="2"/>
      <c r="M30" s="19"/>
    </row>
    <row r="31" ht="15.75" customHeight="1">
      <c r="A31" s="2"/>
      <c r="B31" s="2"/>
      <c r="C31" s="2"/>
      <c r="D31" s="2"/>
      <c r="E31" s="2"/>
      <c r="F31" s="2"/>
      <c r="G31" s="29">
        <v>219.0</v>
      </c>
      <c r="H31" s="24" t="s">
        <v>13</v>
      </c>
      <c r="I31" s="2"/>
      <c r="J31" s="2"/>
      <c r="K31" s="2"/>
      <c r="L31" s="2"/>
    </row>
    <row r="32" ht="15.75" customHeight="1">
      <c r="A32" s="2"/>
      <c r="B32" s="2"/>
      <c r="C32" s="2"/>
      <c r="D32" s="2"/>
      <c r="E32" s="2"/>
      <c r="F32" s="2"/>
      <c r="G32" s="23">
        <v>226.0</v>
      </c>
      <c r="H32" s="24" t="s">
        <v>15</v>
      </c>
      <c r="I32" s="2"/>
      <c r="J32" s="2"/>
      <c r="K32" s="2"/>
      <c r="L32" s="2"/>
      <c r="M32" s="19"/>
    </row>
    <row r="33" ht="15.75" customHeight="1">
      <c r="A33" s="2"/>
      <c r="B33" s="2"/>
      <c r="C33" s="2"/>
      <c r="D33" s="2"/>
      <c r="E33" s="2"/>
      <c r="F33" s="2"/>
      <c r="G33" s="44">
        <v>227.0</v>
      </c>
      <c r="H33" s="24" t="s">
        <v>13</v>
      </c>
      <c r="I33" s="2"/>
      <c r="J33" s="2"/>
      <c r="K33" s="2"/>
      <c r="L33" s="2"/>
      <c r="M33" s="19"/>
    </row>
    <row r="34" ht="15.75" customHeight="1">
      <c r="A34" s="2"/>
      <c r="B34" s="2"/>
      <c r="C34" s="2"/>
      <c r="D34" s="2"/>
      <c r="E34" s="2"/>
      <c r="F34" s="2"/>
      <c r="G34" s="44">
        <v>228.0</v>
      </c>
      <c r="H34" s="24" t="s">
        <v>13</v>
      </c>
      <c r="I34" s="2"/>
      <c r="J34" s="2"/>
      <c r="K34" s="2"/>
      <c r="L34" s="2"/>
      <c r="M34" s="19"/>
    </row>
    <row r="35" ht="15.75" customHeight="1">
      <c r="A35" s="2"/>
      <c r="B35" s="2"/>
      <c r="C35" s="2"/>
      <c r="D35" s="2"/>
      <c r="E35" s="2"/>
      <c r="F35" s="2"/>
      <c r="G35" s="44">
        <v>229.0</v>
      </c>
      <c r="H35" s="24" t="s">
        <v>11</v>
      </c>
      <c r="I35" s="2"/>
      <c r="J35" s="2"/>
      <c r="K35" s="2"/>
      <c r="L35" s="2"/>
      <c r="M35" s="19"/>
    </row>
    <row r="36" ht="15.75" customHeight="1">
      <c r="A36" s="2"/>
      <c r="B36" s="2"/>
      <c r="C36" s="2"/>
      <c r="D36" s="2"/>
      <c r="E36" s="2"/>
      <c r="F36" s="2"/>
      <c r="G36" s="29">
        <v>230.0</v>
      </c>
      <c r="H36" s="24" t="s">
        <v>18</v>
      </c>
      <c r="I36" s="2"/>
      <c r="J36" s="2"/>
      <c r="K36" s="2"/>
      <c r="L36" s="2"/>
      <c r="M36" s="19"/>
    </row>
    <row r="37" ht="15.75" customHeight="1">
      <c r="A37" s="2"/>
      <c r="B37" s="2"/>
      <c r="C37" s="2"/>
      <c r="D37" s="2"/>
      <c r="E37" s="2"/>
      <c r="F37" s="2"/>
      <c r="G37" s="36">
        <v>238.0</v>
      </c>
      <c r="H37" s="17" t="s">
        <v>19</v>
      </c>
      <c r="I37" s="2"/>
      <c r="J37" s="2"/>
      <c r="K37" s="2"/>
      <c r="L37" s="2"/>
      <c r="M37" s="19"/>
    </row>
    <row r="38" ht="15.75" customHeight="1">
      <c r="A38" s="2"/>
      <c r="B38" s="2"/>
      <c r="C38" s="2"/>
      <c r="D38" s="2"/>
      <c r="E38" s="2"/>
      <c r="F38" s="2"/>
      <c r="G38" s="17">
        <v>240.0</v>
      </c>
      <c r="H38" s="17" t="s">
        <v>12</v>
      </c>
      <c r="I38" s="2"/>
      <c r="J38" s="2"/>
      <c r="K38" s="2"/>
      <c r="L38" s="2"/>
      <c r="M38" s="19"/>
    </row>
    <row r="39" ht="15.75" customHeight="1">
      <c r="A39" s="2"/>
      <c r="B39" s="2"/>
      <c r="C39" s="2"/>
      <c r="D39" s="2"/>
      <c r="E39" s="2"/>
      <c r="F39" s="2"/>
      <c r="G39" s="17">
        <v>242.0</v>
      </c>
      <c r="H39" s="17" t="s">
        <v>14</v>
      </c>
      <c r="I39" s="2"/>
      <c r="J39" s="2"/>
      <c r="K39" s="2"/>
      <c r="L39" s="2"/>
      <c r="M39" s="19"/>
    </row>
    <row r="40" ht="15.75" customHeight="1">
      <c r="A40" s="2"/>
      <c r="B40" s="2"/>
      <c r="C40" s="2"/>
      <c r="D40" s="2"/>
      <c r="E40" s="2"/>
      <c r="F40" s="2"/>
      <c r="G40" s="16">
        <v>244.0</v>
      </c>
      <c r="H40" s="17" t="s">
        <v>14</v>
      </c>
      <c r="I40" s="2"/>
      <c r="J40" s="2"/>
      <c r="K40" s="2"/>
      <c r="L40" s="2"/>
      <c r="M40" s="19"/>
    </row>
    <row r="41" ht="15.75" customHeight="1">
      <c r="A41" s="2"/>
      <c r="B41" s="2"/>
      <c r="C41" s="2"/>
      <c r="D41" s="2"/>
      <c r="E41" s="2"/>
      <c r="F41" s="2"/>
      <c r="G41" s="23">
        <v>246.0</v>
      </c>
      <c r="H41" s="24" t="s">
        <v>10</v>
      </c>
      <c r="I41" s="2"/>
      <c r="J41" s="2"/>
      <c r="K41" s="2"/>
      <c r="L41" s="2"/>
      <c r="M41" s="19"/>
    </row>
    <row r="42" ht="15.75" customHeight="1">
      <c r="A42" s="2"/>
      <c r="B42" s="2"/>
      <c r="C42" s="2"/>
      <c r="D42" s="2"/>
      <c r="E42" s="2"/>
      <c r="F42" s="2"/>
      <c r="G42" s="44">
        <v>247.0</v>
      </c>
      <c r="H42" s="24" t="s">
        <v>13</v>
      </c>
      <c r="I42" s="2"/>
      <c r="J42" s="2"/>
      <c r="K42" s="2"/>
      <c r="L42" s="2"/>
    </row>
    <row r="43" ht="15.75" customHeight="1">
      <c r="A43" s="2"/>
      <c r="B43" s="2"/>
      <c r="C43" s="2"/>
      <c r="D43" s="2"/>
      <c r="E43" s="2"/>
      <c r="F43" s="2"/>
      <c r="G43" s="29">
        <v>248.0</v>
      </c>
      <c r="H43" s="24" t="s">
        <v>10</v>
      </c>
      <c r="I43" s="2"/>
      <c r="J43" s="2"/>
      <c r="K43" s="2"/>
      <c r="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.75" customHeight="1">
      <c r="A46" s="2">
        <f t="shared" ref="A46:K46" si="1">COUNT(A3:A44)</f>
        <v>19</v>
      </c>
      <c r="B46" s="2">
        <f t="shared" si="1"/>
        <v>0</v>
      </c>
      <c r="C46" s="2">
        <f t="shared" si="1"/>
        <v>22</v>
      </c>
      <c r="D46" s="2">
        <f t="shared" si="1"/>
        <v>0</v>
      </c>
      <c r="E46" s="2">
        <f t="shared" si="1"/>
        <v>27</v>
      </c>
      <c r="F46" s="2">
        <f t="shared" si="1"/>
        <v>0</v>
      </c>
      <c r="G46" s="2">
        <f t="shared" si="1"/>
        <v>41</v>
      </c>
      <c r="H46" s="2">
        <f t="shared" si="1"/>
        <v>0</v>
      </c>
      <c r="I46" s="2">
        <f t="shared" si="1"/>
        <v>21</v>
      </c>
      <c r="J46" s="2">
        <f t="shared" si="1"/>
        <v>0</v>
      </c>
      <c r="K46" s="2">
        <f t="shared" si="1"/>
        <v>0</v>
      </c>
      <c r="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6">
    <mergeCell ref="A1:J1"/>
    <mergeCell ref="A2:B2"/>
    <mergeCell ref="C2:D2"/>
    <mergeCell ref="E2:F2"/>
    <mergeCell ref="G2:H2"/>
    <mergeCell ref="I2:J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4" t="s">
        <v>25</v>
      </c>
      <c r="B1" s="54" t="s">
        <v>26</v>
      </c>
      <c r="C1" s="55" t="s">
        <v>27</v>
      </c>
      <c r="D1" s="54" t="s">
        <v>28</v>
      </c>
      <c r="E1" s="54" t="s">
        <v>29</v>
      </c>
      <c r="F1" s="54" t="s">
        <v>30</v>
      </c>
      <c r="G1" s="54" t="s">
        <v>31</v>
      </c>
    </row>
    <row r="2">
      <c r="A2" s="54" t="s">
        <v>32</v>
      </c>
      <c r="B2" s="56">
        <v>7.0</v>
      </c>
      <c r="C2" s="57">
        <v>17.0</v>
      </c>
      <c r="D2" s="56">
        <v>7.0</v>
      </c>
      <c r="E2" s="56">
        <v>7.0</v>
      </c>
      <c r="F2" s="56">
        <v>7.0</v>
      </c>
      <c r="G2" s="54" t="s">
        <v>33</v>
      </c>
    </row>
    <row r="3">
      <c r="A3" s="54" t="s">
        <v>34</v>
      </c>
      <c r="B3" s="56">
        <v>8.0</v>
      </c>
      <c r="C3" s="57">
        <v>18.0</v>
      </c>
      <c r="D3" s="56">
        <v>8.0</v>
      </c>
      <c r="E3" s="56">
        <v>8.0</v>
      </c>
      <c r="F3" s="56">
        <v>8.0</v>
      </c>
      <c r="G3" s="54" t="s">
        <v>35</v>
      </c>
    </row>
    <row r="4">
      <c r="A4" s="54" t="s">
        <v>36</v>
      </c>
      <c r="B4" s="56">
        <v>11.0</v>
      </c>
      <c r="C4" s="57">
        <v>21.0</v>
      </c>
      <c r="D4" s="56">
        <v>11.0</v>
      </c>
      <c r="E4" s="56">
        <v>11.0</v>
      </c>
      <c r="F4" s="56">
        <v>11.0</v>
      </c>
      <c r="G4" s="54" t="s">
        <v>37</v>
      </c>
    </row>
    <row r="5">
      <c r="A5" s="54" t="s">
        <v>38</v>
      </c>
      <c r="B5" s="56">
        <v>75.0</v>
      </c>
      <c r="C5" s="57">
        <v>83.0</v>
      </c>
      <c r="D5" s="56">
        <v>75.0</v>
      </c>
      <c r="E5" s="56">
        <v>73.0</v>
      </c>
      <c r="F5" s="56">
        <v>75.0</v>
      </c>
      <c r="G5" s="54" t="s">
        <v>39</v>
      </c>
    </row>
    <row r="6">
      <c r="A6" s="54" t="s">
        <v>40</v>
      </c>
      <c r="B6" s="56">
        <v>103.0</v>
      </c>
      <c r="C6" s="57">
        <v>110.0</v>
      </c>
      <c r="D6" s="56">
        <v>103.0</v>
      </c>
      <c r="E6" s="56">
        <v>100.0</v>
      </c>
      <c r="F6" s="56">
        <v>103.0</v>
      </c>
      <c r="G6" s="54" t="s">
        <v>41</v>
      </c>
    </row>
    <row r="7">
      <c r="A7" s="54" t="s">
        <v>42</v>
      </c>
      <c r="B7" s="56">
        <v>122.0</v>
      </c>
      <c r="C7" s="57">
        <v>126.0</v>
      </c>
      <c r="D7" s="56">
        <v>121.0</v>
      </c>
      <c r="E7" s="56">
        <v>116.0</v>
      </c>
      <c r="F7" s="56">
        <v>121.0</v>
      </c>
      <c r="G7" s="54" t="s">
        <v>39</v>
      </c>
    </row>
    <row r="8">
      <c r="A8" s="54" t="s">
        <v>43</v>
      </c>
      <c r="B8" s="56">
        <v>124.0</v>
      </c>
      <c r="C8" s="57">
        <v>128.0</v>
      </c>
      <c r="D8" s="56">
        <v>123.0</v>
      </c>
      <c r="E8" s="56">
        <v>118.0</v>
      </c>
      <c r="F8" s="56">
        <v>123.0</v>
      </c>
      <c r="G8" s="54" t="s">
        <v>39</v>
      </c>
    </row>
    <row r="9">
      <c r="A9" s="54" t="s">
        <v>44</v>
      </c>
      <c r="B9" s="56">
        <v>130.0</v>
      </c>
      <c r="C9" s="55" t="s">
        <v>45</v>
      </c>
      <c r="D9" s="56">
        <v>129.0</v>
      </c>
      <c r="E9" s="54" t="s">
        <v>45</v>
      </c>
      <c r="F9" s="54" t="s">
        <v>45</v>
      </c>
      <c r="G9" s="54" t="s">
        <v>39</v>
      </c>
    </row>
    <row r="10">
      <c r="A10" s="54" t="s">
        <v>46</v>
      </c>
      <c r="B10" s="56">
        <v>134.0</v>
      </c>
      <c r="C10" s="57">
        <v>137.0</v>
      </c>
      <c r="D10" s="56">
        <v>133.0</v>
      </c>
      <c r="E10" s="56">
        <v>127.0</v>
      </c>
      <c r="F10" s="56">
        <v>131.0</v>
      </c>
      <c r="G10" s="54" t="s">
        <v>39</v>
      </c>
    </row>
    <row r="11">
      <c r="A11" s="54" t="s">
        <v>47</v>
      </c>
      <c r="B11" s="56">
        <v>135.0</v>
      </c>
      <c r="C11" s="57">
        <v>138.0</v>
      </c>
      <c r="D11" s="56">
        <v>134.0</v>
      </c>
      <c r="E11" s="56">
        <v>128.0</v>
      </c>
      <c r="F11" s="56">
        <v>132.0</v>
      </c>
      <c r="G11" s="54" t="s">
        <v>48</v>
      </c>
    </row>
    <row r="12">
      <c r="A12" s="54" t="s">
        <v>49</v>
      </c>
      <c r="B12" s="56">
        <v>140.0</v>
      </c>
      <c r="C12" s="57">
        <v>143.0</v>
      </c>
      <c r="D12" s="56">
        <v>139.0</v>
      </c>
      <c r="E12" s="56">
        <v>132.0</v>
      </c>
      <c r="F12" s="54" t="s">
        <v>45</v>
      </c>
      <c r="G12" s="54" t="s">
        <v>39</v>
      </c>
    </row>
    <row r="13">
      <c r="A13" s="54" t="s">
        <v>50</v>
      </c>
      <c r="B13" s="56">
        <v>152.0</v>
      </c>
      <c r="C13" s="57">
        <v>155.0</v>
      </c>
      <c r="D13" s="56">
        <v>151.0</v>
      </c>
      <c r="E13" s="56">
        <v>144.0</v>
      </c>
      <c r="F13" s="56">
        <v>145.0</v>
      </c>
      <c r="G13" s="54" t="s">
        <v>51</v>
      </c>
    </row>
    <row r="14">
      <c r="A14" s="54" t="s">
        <v>52</v>
      </c>
      <c r="B14" s="56">
        <v>155.0</v>
      </c>
      <c r="C14" s="57">
        <v>158.0</v>
      </c>
      <c r="D14" s="56">
        <v>154.0</v>
      </c>
      <c r="E14" s="56">
        <v>147.0</v>
      </c>
      <c r="F14" s="56">
        <v>148.0</v>
      </c>
      <c r="G14" s="54" t="s">
        <v>53</v>
      </c>
    </row>
    <row r="15">
      <c r="A15" s="54" t="s">
        <v>54</v>
      </c>
      <c r="B15" s="56">
        <v>157.0</v>
      </c>
      <c r="C15" s="57">
        <v>160.0</v>
      </c>
      <c r="D15" s="56">
        <v>156.0</v>
      </c>
      <c r="E15" s="56">
        <v>151.0</v>
      </c>
      <c r="F15" s="56">
        <v>150.0</v>
      </c>
      <c r="G15" s="54" t="s">
        <v>53</v>
      </c>
    </row>
    <row r="16">
      <c r="A16" s="54" t="s">
        <v>55</v>
      </c>
      <c r="B16" s="56">
        <v>183.0</v>
      </c>
      <c r="C16" s="57">
        <v>186.0</v>
      </c>
      <c r="D16" s="56">
        <v>182.0</v>
      </c>
      <c r="E16" s="56">
        <v>177.0</v>
      </c>
      <c r="F16" s="56">
        <v>176.0</v>
      </c>
      <c r="G16" s="54" t="s">
        <v>39</v>
      </c>
    </row>
    <row r="17">
      <c r="A17" s="54" t="s">
        <v>56</v>
      </c>
      <c r="B17" s="56">
        <v>184.0</v>
      </c>
      <c r="C17" s="57">
        <v>187.0</v>
      </c>
      <c r="D17" s="56">
        <v>183.0</v>
      </c>
      <c r="E17" s="56">
        <v>178.0</v>
      </c>
      <c r="F17" s="56">
        <v>177.0</v>
      </c>
      <c r="G17" s="54" t="s">
        <v>51</v>
      </c>
    </row>
    <row r="18">
      <c r="A18" s="54" t="s">
        <v>57</v>
      </c>
      <c r="B18" s="56">
        <v>187.0</v>
      </c>
      <c r="C18" s="57">
        <v>190.0</v>
      </c>
      <c r="D18" s="56">
        <v>186.0</v>
      </c>
      <c r="E18" s="56">
        <v>181.0</v>
      </c>
      <c r="F18" s="56">
        <v>180.0</v>
      </c>
      <c r="G18" s="54" t="s">
        <v>39</v>
      </c>
    </row>
    <row r="19">
      <c r="A19" s="54" t="s">
        <v>58</v>
      </c>
      <c r="B19" s="56">
        <v>189.0</v>
      </c>
      <c r="C19" s="57">
        <v>192.0</v>
      </c>
      <c r="D19" s="56">
        <v>188.0</v>
      </c>
      <c r="E19" s="56">
        <v>183.0</v>
      </c>
      <c r="F19" s="56">
        <v>182.0</v>
      </c>
      <c r="G19" s="54" t="s">
        <v>39</v>
      </c>
    </row>
    <row r="20">
      <c r="A20" s="54" t="s">
        <v>59</v>
      </c>
      <c r="B20" s="56">
        <v>190.0</v>
      </c>
      <c r="C20" s="57">
        <v>193.0</v>
      </c>
      <c r="D20" s="56">
        <v>189.0</v>
      </c>
      <c r="E20" s="56">
        <v>184.0</v>
      </c>
      <c r="F20" s="56">
        <v>183.0</v>
      </c>
      <c r="G20" s="54" t="s">
        <v>39</v>
      </c>
    </row>
    <row r="21">
      <c r="A21" s="54" t="s">
        <v>60</v>
      </c>
      <c r="B21" s="56">
        <v>193.0</v>
      </c>
      <c r="C21" s="57">
        <v>196.0</v>
      </c>
      <c r="D21" s="56">
        <v>192.0</v>
      </c>
      <c r="E21" s="56">
        <v>187.0</v>
      </c>
      <c r="F21" s="56">
        <v>186.0</v>
      </c>
      <c r="G21" s="54" t="s">
        <v>39</v>
      </c>
    </row>
    <row r="22">
      <c r="A22" s="54" t="s">
        <v>55</v>
      </c>
      <c r="B22" s="56">
        <v>194.0</v>
      </c>
      <c r="C22" s="57">
        <v>197.0</v>
      </c>
      <c r="D22" s="56">
        <v>193.0</v>
      </c>
      <c r="E22" s="56">
        <v>188.0</v>
      </c>
      <c r="F22" s="56">
        <v>187.0</v>
      </c>
      <c r="G22" s="54" t="s">
        <v>39</v>
      </c>
    </row>
    <row r="23">
      <c r="A23" s="54" t="s">
        <v>61</v>
      </c>
      <c r="B23" s="56">
        <v>211.0</v>
      </c>
      <c r="C23" s="57">
        <v>214.0</v>
      </c>
      <c r="D23" s="56">
        <v>210.0</v>
      </c>
      <c r="E23" s="56">
        <v>205.0</v>
      </c>
      <c r="F23" s="56">
        <v>204.0</v>
      </c>
      <c r="G23" s="54" t="s">
        <v>51</v>
      </c>
    </row>
    <row r="24">
      <c r="A24" s="54" t="s">
        <v>62</v>
      </c>
      <c r="B24" s="56">
        <v>223.0</v>
      </c>
      <c r="C24" s="57">
        <v>226.0</v>
      </c>
      <c r="D24" s="56">
        <v>222.0</v>
      </c>
      <c r="E24" s="56">
        <v>217.0</v>
      </c>
      <c r="F24" s="56">
        <v>216.0</v>
      </c>
      <c r="G24" s="54" t="s">
        <v>51</v>
      </c>
    </row>
    <row r="25">
      <c r="A25" s="54" t="s">
        <v>42</v>
      </c>
      <c r="B25" s="56">
        <v>224.0</v>
      </c>
      <c r="C25" s="57">
        <v>227.0</v>
      </c>
      <c r="D25" s="56">
        <v>223.0</v>
      </c>
      <c r="E25" s="56">
        <v>218.0</v>
      </c>
      <c r="F25" s="56">
        <v>217.0</v>
      </c>
      <c r="G25" s="54" t="s">
        <v>39</v>
      </c>
    </row>
    <row r="26">
      <c r="A26" s="54" t="s">
        <v>63</v>
      </c>
      <c r="B26" s="56">
        <v>225.0</v>
      </c>
      <c r="C26" s="57">
        <v>228.0</v>
      </c>
      <c r="D26" s="56">
        <v>224.0</v>
      </c>
      <c r="E26" s="56">
        <v>219.0</v>
      </c>
      <c r="F26" s="56">
        <v>218.0</v>
      </c>
      <c r="G26" s="54" t="s">
        <v>51</v>
      </c>
    </row>
    <row r="27">
      <c r="A27" s="54" t="s">
        <v>64</v>
      </c>
      <c r="B27" s="56">
        <v>236.0</v>
      </c>
      <c r="C27" s="57">
        <v>239.0</v>
      </c>
      <c r="D27" s="56">
        <v>235.0</v>
      </c>
      <c r="E27" s="56">
        <v>230.0</v>
      </c>
      <c r="F27" s="56">
        <v>229.0</v>
      </c>
      <c r="G27" s="54" t="s">
        <v>39</v>
      </c>
    </row>
    <row r="28">
      <c r="A28" s="54" t="s">
        <v>38</v>
      </c>
      <c r="B28" s="56">
        <v>252.0</v>
      </c>
      <c r="C28" s="57">
        <v>255.0</v>
      </c>
      <c r="D28" s="56">
        <v>251.0</v>
      </c>
      <c r="E28" s="56">
        <v>246.0</v>
      </c>
      <c r="F28" s="56">
        <v>245.0</v>
      </c>
      <c r="G28" s="54" t="s">
        <v>51</v>
      </c>
    </row>
    <row r="29">
      <c r="A29" s="54" t="s">
        <v>65</v>
      </c>
      <c r="B29" s="56">
        <v>316.0</v>
      </c>
      <c r="C29" s="57">
        <v>318.0</v>
      </c>
      <c r="D29" s="56">
        <v>315.0</v>
      </c>
      <c r="E29" s="56">
        <v>309.0</v>
      </c>
      <c r="F29" s="56">
        <v>309.0</v>
      </c>
      <c r="G29" s="54" t="s">
        <v>33</v>
      </c>
    </row>
    <row r="30">
      <c r="A30" s="54" t="s">
        <v>66</v>
      </c>
      <c r="B30" s="56">
        <v>327.0</v>
      </c>
      <c r="C30" s="57">
        <v>329.0</v>
      </c>
      <c r="D30" s="56">
        <v>326.0</v>
      </c>
      <c r="E30" s="56">
        <v>321.0</v>
      </c>
      <c r="F30" s="56">
        <v>320.0</v>
      </c>
      <c r="G30" s="54" t="s">
        <v>67</v>
      </c>
    </row>
    <row r="31">
      <c r="A31" s="54" t="s">
        <v>68</v>
      </c>
      <c r="B31" s="56">
        <v>385.0</v>
      </c>
      <c r="C31" s="57">
        <v>387.0</v>
      </c>
      <c r="D31" s="56">
        <v>384.0</v>
      </c>
      <c r="E31" s="56">
        <v>379.0</v>
      </c>
      <c r="F31" s="56">
        <v>378.0</v>
      </c>
      <c r="G31" s="54" t="s">
        <v>69</v>
      </c>
    </row>
    <row r="32">
      <c r="A32" s="54" t="s">
        <v>55</v>
      </c>
      <c r="B32" s="56">
        <v>441.0</v>
      </c>
      <c r="C32" s="57">
        <v>443.0</v>
      </c>
      <c r="D32" s="56">
        <v>440.0</v>
      </c>
      <c r="E32" s="56">
        <v>435.0</v>
      </c>
      <c r="F32" s="56">
        <v>434.0</v>
      </c>
      <c r="G32" s="54" t="s">
        <v>70</v>
      </c>
    </row>
    <row r="33">
      <c r="A33" s="54" t="s">
        <v>52</v>
      </c>
      <c r="B33" s="56">
        <v>444.0</v>
      </c>
      <c r="C33" s="57">
        <v>446.0</v>
      </c>
      <c r="D33" s="56">
        <v>443.0</v>
      </c>
      <c r="E33" s="56">
        <v>438.0</v>
      </c>
      <c r="F33" s="56">
        <v>437.0</v>
      </c>
      <c r="G33" s="54" t="s">
        <v>33</v>
      </c>
    </row>
    <row r="34">
      <c r="A34" s="54" t="s">
        <v>71</v>
      </c>
      <c r="B34" s="56">
        <v>494.0</v>
      </c>
      <c r="C34" s="57">
        <v>496.0</v>
      </c>
      <c r="D34" s="56">
        <v>493.0</v>
      </c>
      <c r="E34" s="56">
        <v>488.0</v>
      </c>
      <c r="F34" s="56">
        <v>487.0</v>
      </c>
      <c r="G34" s="54" t="s">
        <v>39</v>
      </c>
    </row>
    <row r="35">
      <c r="A35" s="58"/>
      <c r="B35" s="58"/>
      <c r="C35" s="59"/>
      <c r="D35" s="58"/>
      <c r="E35" s="58"/>
      <c r="F35" s="58"/>
      <c r="G35" s="5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6" width="8.86"/>
  </cols>
  <sheetData>
    <row r="1">
      <c r="A1" s="1" t="s">
        <v>72</v>
      </c>
    </row>
    <row r="2">
      <c r="A2" s="1">
        <v>98.0</v>
      </c>
      <c r="B2" s="60" t="s">
        <v>73</v>
      </c>
    </row>
    <row r="3">
      <c r="A3" s="1">
        <v>136.0</v>
      </c>
    </row>
    <row r="4">
      <c r="A4" s="1">
        <v>153.0</v>
      </c>
      <c r="B4" s="60" t="s">
        <v>74</v>
      </c>
    </row>
    <row r="5">
      <c r="A5" s="1">
        <v>155.0</v>
      </c>
    </row>
    <row r="6">
      <c r="A6" s="1">
        <v>183.0</v>
      </c>
      <c r="B6" s="60" t="s">
        <v>75</v>
      </c>
    </row>
    <row r="7">
      <c r="A7" s="1">
        <v>184.0</v>
      </c>
    </row>
    <row r="8">
      <c r="A8" s="1">
        <v>190.0</v>
      </c>
    </row>
    <row r="9">
      <c r="A9" s="1">
        <v>194.0</v>
      </c>
    </row>
    <row r="10">
      <c r="A10" s="1">
        <v>195.0</v>
      </c>
      <c r="B10" s="60" t="s">
        <v>73</v>
      </c>
    </row>
    <row r="11">
      <c r="A11" s="1">
        <v>220.0</v>
      </c>
    </row>
    <row r="12">
      <c r="A12" s="1">
        <v>221.0</v>
      </c>
    </row>
    <row r="13">
      <c r="A13" s="1">
        <v>222.0</v>
      </c>
    </row>
    <row r="14">
      <c r="A14" s="1">
        <v>223.0</v>
      </c>
    </row>
    <row r="15">
      <c r="A15" s="1">
        <v>225.0</v>
      </c>
    </row>
    <row r="16">
      <c r="A16" s="1">
        <v>226.0</v>
      </c>
    </row>
    <row r="17">
      <c r="A17" s="1">
        <v>227.0</v>
      </c>
    </row>
    <row r="18">
      <c r="A18" s="1">
        <v>228.0</v>
      </c>
    </row>
    <row r="19">
      <c r="A19" s="1">
        <v>229.0</v>
      </c>
    </row>
    <row r="20">
      <c r="A20" s="1">
        <v>230.0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2012-02-24T22:16:08Z</dcterms:created>
  <dc:creator>Alexander Karasin</dc:creator>
</cp:coreProperties>
</file>